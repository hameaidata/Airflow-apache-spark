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os" sheetId="1" state="visible" r:id="rId3"/>
    <sheet name="Defectos" sheetId="2" state="visible" r:id="rId4"/>
    <sheet name="Caso E detall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<sst xmlns="http://schemas.openxmlformats.org/spreadsheetml/2006/main" count="164" uniqueCount="73">
  <si>
    <t xml:space="preserve">Relleno de huecos - SP_BDS_SALDOS_OPERATIVOS.singlestore.sql</t>
  </si>
  <si>
    <t xml:space="preserve">Septiembre 2026 (30 dias de calendario). Dias 1 y 30 marcados feriado. Reproducido en DuckDB con scripts/verificar_relleno_operativos.py. Un rubro por caso, salvo el caso F.</t>
  </si>
  <si>
    <t xml:space="preserve">Caso</t>
  </si>
  <si>
    <t xml:space="preserve">Que representa</t>
  </si>
  <si>
    <t xml:space="preserve">Dato real en BDS_SALDOS_CIERRE</t>
  </si>
  <si>
    <t xml:space="preserve">Dias esperados</t>
  </si>
  <si>
    <t xml:space="preserve">Dias que salen</t>
  </si>
  <si>
    <t xml:space="preserve">Diferencia</t>
  </si>
  <si>
    <t xml:space="preserve">ORIGINAL</t>
  </si>
  <si>
    <t xml:space="preserve">COPIA_HABIL</t>
  </si>
  <si>
    <t xml:space="preserve">RELLENO</t>
  </si>
  <si>
    <t xml:space="preserve">A</t>
  </si>
  <si>
    <t xml:space="preserve">Operacion normal</t>
  </si>
  <si>
    <t xml:space="preserve">Todos los dias habiles</t>
  </si>
  <si>
    <t xml:space="preserve">B</t>
  </si>
  <si>
    <t xml:space="preserve">Nace a mitad de mes</t>
  </si>
  <si>
    <t xml:space="preserve">15 al 18</t>
  </si>
  <si>
    <t xml:space="preserve">C</t>
  </si>
  <si>
    <t xml:space="preserve">Muere a mitad de mes</t>
  </si>
  <si>
    <t xml:space="preserve">7 al 10</t>
  </si>
  <si>
    <t xml:space="preserve">D</t>
  </si>
  <si>
    <t xml:space="preserve">Hueco en medio</t>
  </si>
  <si>
    <t xml:space="preserve">2, 3, 21 y 22</t>
  </si>
  <si>
    <t xml:space="preserve">E</t>
  </si>
  <si>
    <t xml:space="preserve">Ultimo dato el 31-ago; nada en septiembre</t>
  </si>
  <si>
    <t xml:space="preserve">Ninguno en septiembre</t>
  </si>
  <si>
    <t xml:space="preserve">F</t>
  </si>
  <si>
    <t xml:space="preserve">Dos rubros (R1 y R2), por rubro</t>
  </si>
  <si>
    <t xml:space="preserve">2 y 3, en cada rubro</t>
  </si>
  <si>
    <t xml:space="preserve">Casos con diferencia:</t>
  </si>
  <si>
    <t xml:space="preserve">Como leer esto: ORIGINAL es el dato del propio dia; COPIA_HABIL es un dia no habil que copia del ultimo habil anterior; RELLENO es una fila generada con importes en cero y atributos heredados del ancla.</t>
  </si>
  <si>
    <t xml:space="preserve">El caso F da 30 dias POR RUBRO. Agrupando solo por ID_OPERACION_CIERRE salen 60 filas en un mes de 30 dias: no es duplicacion, es que el grano real es (ID_OPERACION_CIERRE, COD_RUBRO, FECHA_PROCESO).</t>
  </si>
  <si>
    <t xml:space="preserve">Defectos confirmados</t>
  </si>
  <si>
    <t xml:space="preserve">Los tres se reprodujeron con datos controlados. El tercero puede ser intencional: necesita confirmacion del area de negocio.</t>
  </si>
  <si>
    <t xml:space="preserve">#</t>
  </si>
  <si>
    <t xml:space="preserve">Defecto</t>
  </si>
  <si>
    <t xml:space="preserve">Causa en el codigo</t>
  </si>
  <si>
    <t xml:space="preserve">Evidencia reproducida</t>
  </si>
  <si>
    <t xml:space="preserve">Consecuencia</t>
  </si>
  <si>
    <t xml:space="preserve">Gravedad</t>
  </si>
  <si>
    <t xml:space="preserve">Arreglo propuesto</t>
  </si>
  <si>
    <t xml:space="preserve">Una operacion sin ninguna fila ORIGINAL en el mes no se rellena</t>
  </si>
  <si>
    <t xml:space="preserve">En CON_ANCLA, ANCLA_PREV y ANCLA_NEXT filtran por d.TIPO_ORIGEN = 'ORIGINAL', pero LLAVES se construye con TODAS las filas de TMP_SO_DIARIO, incluidas las COPIA_HABIL. Las dos anclas quedan NULL y el WHERE COALESCE(...) IS NOT NULL descarta los dias.</t>
  </si>
  <si>
    <t xml:space="preserve">Caso E: 1 dia de 30. Faltan del 2 al 30 de septiembre.</t>
  </si>
  <si>
    <t xml:space="preserve">El promedio mensual se divide entre menos dias de los que toca. Afecta sobre todo a operaciones canceladas a fin de mes. No hay error ni fila en cero: los dias no estan.</t>
  </si>
  <si>
    <t xml:space="preserve">Alta</t>
  </si>
  <si>
    <t xml:space="preserve">Construir LLAVES solo con filas TIPO_ORIGEN='ORIGINAL', que es mas fiel a la intencion declarada, o quitar ese filtro de las dos anclas.</t>
  </si>
  <si>
    <t xml:space="preserve">Un dia duplicado en BDS_CALENDARIOS duplica la fila de relleno</t>
  </si>
  <si>
    <t xml:space="preserve">TMP_SO_DIARIO pasa por ROW_NUMBER() = 1 y queda deduplicado, pero ESPINA hace JOIN BDS_CALENDARIOS sin DISTINCT. El duplicado solo sobrevive por la rama de relleno.</t>
  </si>
  <si>
    <t xml:space="preserve">Con el 30-sep repetido en el calendario: 31 filas en un mes de 30 dias y un solo rubro. Si ese mismo dia recibe COPIA_HABIL, el duplicado NO aparece.</t>
  </si>
  <si>
    <t xml:space="preserve">Explica por que los duplicados se ven en feriados: son las filas que se cargan aparte, se repiten, y son las que mas caen en relleno.</t>
  </si>
  <si>
    <t xml:space="preserve">SELECT DISTINCT FEC_CALENDARIO, IND_DIA_HABIL en ESPINA, o una restriccion UNIQUE sobre (COD_CALENDARIO, FEC_CALENDARIO) en BDS_CALENDARIOS.</t>
  </si>
  <si>
    <t xml:space="preserve">El relleno hacia atras inventa dias previos al primer dato</t>
  </si>
  <si>
    <t xml:space="preserve">ANCLA_NEXT hereda de adelante cuando no hay nada detras: COALESCE(ANCLA_PREV, ANCLA_NEXT).</t>
  </si>
  <si>
    <t xml:space="preserve">Caso E en agosto: con un unico dato el 31-ago, se generan del 1 al 30 de agosto en cero.</t>
  </si>
  <si>
    <t xml:space="preserve">Una operacion que aparece por primera vez el dia 31 queda con 30 dias de existencia en cero. El procedimiento dice reproducir el criterio del original.</t>
  </si>
  <si>
    <t xml:space="preserve">Por confirmar</t>
  </si>
  <si>
    <t xml:space="preserve">Decidir con negocio: acotar el relleno a partir de PRIMERA_FECHA, o dejarlo como esta y documentarlo.</t>
  </si>
  <si>
    <t xml:space="preserve">Caso E, dia a dia</t>
  </si>
  <si>
    <t xml:space="preserve">Operacion cuyo unico dato real es el 31 de agosto. Agosto se rellena entero hacia atras (defecto 3); septiembre se queda en un solo dia (defecto 1).</t>
  </si>
  <si>
    <t xml:space="preserve">Fecha</t>
  </si>
  <si>
    <t xml:space="preserve">Dia habil</t>
  </si>
  <si>
    <t xml:space="preserve">Procedencia</t>
  </si>
  <si>
    <t xml:space="preserve">Importe (MN)</t>
  </si>
  <si>
    <t xml:space="preserve">Observacion</t>
  </si>
  <si>
    <t xml:space="preserve">N</t>
  </si>
  <si>
    <t xml:space="preserve">Generado hacia atras desde el ancla del 31-ago</t>
  </si>
  <si>
    <t xml:space="preserve">S</t>
  </si>
  <si>
    <t xml:space="preserve">Unico dato real del origen</t>
  </si>
  <si>
    <t xml:space="preserve">Feriado que copia del 31-ago. Es la UNICA fila de septiembre.</t>
  </si>
  <si>
    <t xml:space="preserve">(no existe)</t>
  </si>
  <si>
    <t xml:space="preserve">Dia perdido: las dos anclas son NULL</t>
  </si>
  <si>
    <t xml:space="preserve">Dias de septiembre que faltan: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</si>
</sst>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dd/mm/yyyy"/>
    <numFmt numFmtId="167" formatCode="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F2F2"/>
        <bgColor rgb="FFFFFFFF"/>
      </patternFill>
    </fill>
    <fill>
      <patternFill patternType="solid">
        <fgColor rgb="FFF8CBCB"/>
        <bgColor rgb="FFCCCCFF"/>
      </patternFill>
    </fill>
    <fill>
      <patternFill patternType="solid">
        <fgColor rgb="FFFFF2CC"/>
        <bgColor rgb="FFF2F2F2"/>
      </patternFill>
    </fill>
    <fill>
      <patternFill patternType="solid">
        <fgColor rgb="FFD6EAD6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6EAD6"/>
      <rgbColor rgb="FFFFFF99"/>
      <rgbColor rgb="FF99CCFF"/>
      <rgbColor rgb="FFFF99CC"/>
      <rgbColor rgb="FFCC99FF"/>
      <rgbColor rgb="FFF8CBCB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3" min="2" style="0" width="30"/>
    <col collapsed="false" customWidth="true" hidden="false" outlineLevel="0" max="6" min="4" style="0" width="11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1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27.75" hidden="false" customHeight="true" outlineLevel="0" collapsed="false">
      <c r="A5" s="4" t="s">
        <v>11</v>
      </c>
      <c r="B5" s="5" t="s">
        <v>12</v>
      </c>
      <c r="C5" s="5" t="s">
        <v>13</v>
      </c>
      <c r="D5" s="6" t="n">
        <v>30</v>
      </c>
      <c r="E5" s="6" t="n">
        <v>30</v>
      </c>
      <c r="F5" s="6" t="n">
        <f aca="false">E5-D5</f>
        <v>0</v>
      </c>
      <c r="G5" s="6" t="n">
        <v>20</v>
      </c>
      <c r="H5" s="6" t="n">
        <v>9</v>
      </c>
      <c r="I5" s="6" t="n">
        <v>1</v>
      </c>
    </row>
    <row r="6" customFormat="false" ht="27.75" hidden="false" customHeight="true" outlineLevel="0" collapsed="false">
      <c r="A6" s="7" t="s">
        <v>14</v>
      </c>
      <c r="B6" s="8" t="s">
        <v>15</v>
      </c>
      <c r="C6" s="8" t="s">
        <v>16</v>
      </c>
      <c r="D6" s="9" t="n">
        <v>30</v>
      </c>
      <c r="E6" s="9" t="n">
        <v>30</v>
      </c>
      <c r="F6" s="9" t="n">
        <f aca="false">E6-D6</f>
        <v>0</v>
      </c>
      <c r="G6" s="9" t="n">
        <v>4</v>
      </c>
      <c r="H6" s="9" t="n">
        <v>2</v>
      </c>
      <c r="I6" s="9" t="n">
        <v>24</v>
      </c>
    </row>
    <row r="7" customFormat="false" ht="27.75" hidden="false" customHeight="true" outlineLevel="0" collapsed="false">
      <c r="A7" s="4" t="s">
        <v>17</v>
      </c>
      <c r="B7" s="5" t="s">
        <v>18</v>
      </c>
      <c r="C7" s="5" t="s">
        <v>19</v>
      </c>
      <c r="D7" s="6" t="n">
        <v>30</v>
      </c>
      <c r="E7" s="6" t="n">
        <v>30</v>
      </c>
      <c r="F7" s="6" t="n">
        <f aca="false">E7-D7</f>
        <v>0</v>
      </c>
      <c r="G7" s="6" t="n">
        <v>4</v>
      </c>
      <c r="H7" s="6" t="n">
        <v>0</v>
      </c>
      <c r="I7" s="6" t="n">
        <v>26</v>
      </c>
    </row>
    <row r="8" customFormat="false" ht="27.75" hidden="false" customHeight="true" outlineLevel="0" collapsed="false">
      <c r="A8" s="7" t="s">
        <v>20</v>
      </c>
      <c r="B8" s="8" t="s">
        <v>21</v>
      </c>
      <c r="C8" s="8" t="s">
        <v>22</v>
      </c>
      <c r="D8" s="9" t="n">
        <v>30</v>
      </c>
      <c r="E8" s="9" t="n">
        <v>30</v>
      </c>
      <c r="F8" s="9" t="n">
        <f aca="false">E8-D8</f>
        <v>0</v>
      </c>
      <c r="G8" s="9" t="n">
        <v>4</v>
      </c>
      <c r="H8" s="9" t="n">
        <v>0</v>
      </c>
      <c r="I8" s="9" t="n">
        <v>26</v>
      </c>
    </row>
    <row r="9" customFormat="false" ht="27.75" hidden="false" customHeight="true" outlineLevel="0" collapsed="false">
      <c r="A9" s="10" t="s">
        <v>23</v>
      </c>
      <c r="B9" s="11" t="s">
        <v>24</v>
      </c>
      <c r="C9" s="11" t="s">
        <v>25</v>
      </c>
      <c r="D9" s="12" t="n">
        <v>30</v>
      </c>
      <c r="E9" s="12" t="n">
        <v>1</v>
      </c>
      <c r="F9" s="12" t="n">
        <f aca="false">E9-D9</f>
        <v>-29</v>
      </c>
      <c r="G9" s="12" t="n">
        <v>0</v>
      </c>
      <c r="H9" s="12" t="n">
        <v>1</v>
      </c>
      <c r="I9" s="12" t="n">
        <v>0</v>
      </c>
    </row>
    <row r="10" customFormat="false" ht="27.75" hidden="false" customHeight="true" outlineLevel="0" collapsed="false">
      <c r="A10" s="7" t="s">
        <v>26</v>
      </c>
      <c r="B10" s="8" t="s">
        <v>27</v>
      </c>
      <c r="C10" s="8" t="s">
        <v>28</v>
      </c>
      <c r="D10" s="9" t="n">
        <v>30</v>
      </c>
      <c r="E10" s="9" t="n">
        <v>30</v>
      </c>
      <c r="F10" s="9" t="n">
        <f aca="false">E10-D10</f>
        <v>0</v>
      </c>
      <c r="G10" s="9" t="n">
        <v>2</v>
      </c>
      <c r="H10" s="9" t="n">
        <v>0</v>
      </c>
      <c r="I10" s="9" t="n">
        <v>28</v>
      </c>
    </row>
    <row r="12" customFormat="false" ht="15" hidden="false" customHeight="false" outlineLevel="0" collapsed="false">
      <c r="A12" s="13" t="s">
        <v>29</v>
      </c>
      <c r="D12" s="14" t="n">
        <f aca="false">COUNTIF(F5:F10,"&lt;0")</f>
        <v>1</v>
      </c>
    </row>
    <row r="14" customFormat="false" ht="30" hidden="false" customHeight="true" outlineLevel="0" collapsed="false">
      <c r="A14" s="15" t="s">
        <v>30</v>
      </c>
      <c r="B14" s="15"/>
      <c r="C14" s="15"/>
      <c r="D14" s="15"/>
      <c r="E14" s="15"/>
      <c r="F14" s="15"/>
      <c r="G14" s="15"/>
      <c r="H14" s="15"/>
      <c r="I14" s="15"/>
    </row>
    <row r="15" customFormat="false" ht="30" hidden="false" customHeight="true" outlineLevel="0" collapsed="false">
      <c r="A15" s="15" t="s">
        <v>31</v>
      </c>
      <c r="B15" s="15"/>
      <c r="C15" s="15"/>
      <c r="D15" s="15"/>
      <c r="E15" s="15"/>
      <c r="F15" s="15"/>
      <c r="G15" s="15"/>
      <c r="H15" s="15"/>
      <c r="I15" s="15"/>
    </row>
  </sheetData>
  <mergeCells count="4">
    <mergeCell ref="A1:I1"/>
    <mergeCell ref="A2:I2"/>
    <mergeCell ref="A14:I14"/>
    <mergeCell ref="A15:I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38"/>
    <col collapsed="false" customWidth="true" hidden="false" outlineLevel="0" max="4" min="4" style="0" width="32"/>
    <col collapsed="false" customWidth="true" hidden="false" outlineLevel="0" max="5" min="5" style="0" width="34"/>
    <col collapsed="false" customWidth="true" hidden="false" outlineLevel="0" max="6" min="6" style="0" width="12"/>
    <col collapsed="false" customWidth="true" hidden="false" outlineLevel="0" max="7" min="7" style="0" width="38"/>
  </cols>
  <sheetData>
    <row r="1" customFormat="false" ht="17.35" hidden="false" customHeight="false" outlineLevel="0" collapsed="false">
      <c r="A1" s="1" t="s">
        <v>32</v>
      </c>
      <c r="B1" s="1"/>
      <c r="C1" s="1"/>
      <c r="D1" s="1"/>
      <c r="E1" s="1"/>
      <c r="F1" s="1"/>
      <c r="G1" s="1"/>
    </row>
    <row r="2" customFormat="false" ht="27.75" hidden="false" customHeight="true" outlineLevel="0" collapsed="false">
      <c r="A2" s="2" t="s">
        <v>33</v>
      </c>
      <c r="B2" s="2"/>
      <c r="C2" s="2"/>
      <c r="D2" s="2"/>
      <c r="E2" s="2"/>
      <c r="F2" s="2"/>
      <c r="G2" s="2"/>
    </row>
    <row r="4" customFormat="false" ht="30" hidden="false" customHeight="true" outlineLevel="0" collapsed="false">
      <c r="A4" s="3" t="s">
        <v>34</v>
      </c>
      <c r="B4" s="3" t="s">
        <v>35</v>
      </c>
      <c r="C4" s="3" t="s">
        <v>36</v>
      </c>
      <c r="D4" s="3" t="s">
        <v>37</v>
      </c>
      <c r="E4" s="3" t="s">
        <v>38</v>
      </c>
      <c r="F4" s="3" t="s">
        <v>39</v>
      </c>
      <c r="G4" s="3" t="s">
        <v>40</v>
      </c>
    </row>
    <row r="5" customFormat="false" ht="94.5" hidden="false" customHeight="true" outlineLevel="0" collapsed="false">
      <c r="A5" s="4" t="n">
        <v>1</v>
      </c>
      <c r="B5" s="16" t="s">
        <v>41</v>
      </c>
      <c r="C5" s="5" t="s">
        <v>42</v>
      </c>
      <c r="D5" s="5" t="s">
        <v>43</v>
      </c>
      <c r="E5" s="5" t="s">
        <v>44</v>
      </c>
      <c r="F5" s="10" t="s">
        <v>45</v>
      </c>
      <c r="G5" s="5" t="s">
        <v>46</v>
      </c>
    </row>
    <row r="6" customFormat="false" ht="94.5" hidden="false" customHeight="true" outlineLevel="0" collapsed="false">
      <c r="A6" s="7" t="n">
        <v>2</v>
      </c>
      <c r="B6" s="17" t="s">
        <v>47</v>
      </c>
      <c r="C6" s="8" t="s">
        <v>48</v>
      </c>
      <c r="D6" s="8" t="s">
        <v>49</v>
      </c>
      <c r="E6" s="8" t="s">
        <v>50</v>
      </c>
      <c r="F6" s="10" t="s">
        <v>45</v>
      </c>
      <c r="G6" s="8" t="s">
        <v>51</v>
      </c>
    </row>
    <row r="7" customFormat="false" ht="94.5" hidden="false" customHeight="true" outlineLevel="0" collapsed="false">
      <c r="A7" s="4" t="n">
        <v>3</v>
      </c>
      <c r="B7" s="16" t="s">
        <v>52</v>
      </c>
      <c r="C7" s="5" t="s">
        <v>53</v>
      </c>
      <c r="D7" s="5" t="s">
        <v>54</v>
      </c>
      <c r="E7" s="5" t="s">
        <v>55</v>
      </c>
      <c r="F7" s="14" t="s">
        <v>56</v>
      </c>
      <c r="G7" s="5" t="s">
        <v>57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1"/>
    <col collapsed="false" customWidth="true" hidden="false" outlineLevel="0" max="3" min="3" style="0" width="15"/>
    <col collapsed="false" customWidth="true" hidden="false" outlineLevel="0" max="4" min="4" style="0" width="14"/>
    <col collapsed="false" customWidth="true" hidden="false" outlineLevel="0" max="5" min="5" style="0" width="46"/>
  </cols>
  <sheetData>
    <row r="1" customFormat="false" ht="17.35" hidden="false" customHeight="false" outlineLevel="0" collapsed="false">
      <c r="A1" s="1" t="s">
        <v>58</v>
      </c>
      <c r="B1" s="1"/>
      <c r="C1" s="1"/>
      <c r="D1" s="1"/>
      <c r="E1" s="1"/>
    </row>
    <row r="2" customFormat="false" ht="27.75" hidden="false" customHeight="true" outlineLevel="0" collapsed="false">
      <c r="A2" s="2" t="s">
        <v>59</v>
      </c>
      <c r="B2" s="2"/>
      <c r="C2" s="2"/>
      <c r="D2" s="2"/>
      <c r="E2" s="2"/>
    </row>
    <row r="4" customFormat="false" ht="30" hidden="false" customHeight="true" outlineLevel="0" collapsed="false">
      <c r="A4" s="3" t="s">
        <v>60</v>
      </c>
      <c r="B4" s="3" t="s">
        <v>61</v>
      </c>
      <c r="C4" s="3" t="s">
        <v>62</v>
      </c>
      <c r="D4" s="3" t="s">
        <v>63</v>
      </c>
      <c r="E4" s="3" t="s">
        <v>64</v>
      </c>
    </row>
    <row r="5" customFormat="false" ht="15" hidden="false" customHeight="false" outlineLevel="0" collapsed="false">
      <c r="A5" s="18" t="n">
        <v>46235</v>
      </c>
      <c r="B5" s="9" t="s">
        <v>65</v>
      </c>
      <c r="C5" s="9" t="s">
        <v>10</v>
      </c>
      <c r="D5" s="19" t="n">
        <v>0</v>
      </c>
      <c r="E5" s="8" t="s">
        <v>66</v>
      </c>
    </row>
    <row r="6" customFormat="false" ht="15" hidden="false" customHeight="false" outlineLevel="0" collapsed="false">
      <c r="A6" s="18" t="n">
        <v>46236</v>
      </c>
      <c r="B6" s="9" t="s">
        <v>65</v>
      </c>
      <c r="C6" s="9" t="s">
        <v>10</v>
      </c>
      <c r="D6" s="19" t="n">
        <v>0</v>
      </c>
      <c r="E6" s="8"/>
    </row>
    <row r="7" customFormat="false" ht="15" hidden="false" customHeight="false" outlineLevel="0" collapsed="false">
      <c r="A7" s="18" t="n">
        <v>46237</v>
      </c>
      <c r="B7" s="9" t="s">
        <v>67</v>
      </c>
      <c r="C7" s="9" t="s">
        <v>10</v>
      </c>
      <c r="D7" s="19" t="n">
        <v>0</v>
      </c>
      <c r="E7" s="8"/>
    </row>
    <row r="8" customFormat="false" ht="15" hidden="false" customHeight="false" outlineLevel="0" collapsed="false">
      <c r="A8" s="18" t="n">
        <v>46238</v>
      </c>
      <c r="B8" s="9" t="s">
        <v>67</v>
      </c>
      <c r="C8" s="9" t="s">
        <v>10</v>
      </c>
      <c r="D8" s="19" t="n">
        <v>0</v>
      </c>
      <c r="E8" s="8"/>
    </row>
    <row r="9" customFormat="false" ht="15" hidden="false" customHeight="false" outlineLevel="0" collapsed="false">
      <c r="A9" s="18" t="n">
        <v>46239</v>
      </c>
      <c r="B9" s="9" t="s">
        <v>67</v>
      </c>
      <c r="C9" s="9" t="s">
        <v>10</v>
      </c>
      <c r="D9" s="19" t="n">
        <v>0</v>
      </c>
      <c r="E9" s="8"/>
    </row>
    <row r="10" customFormat="false" ht="15" hidden="false" customHeight="false" outlineLevel="0" collapsed="false">
      <c r="A10" s="18" t="n">
        <v>46240</v>
      </c>
      <c r="B10" s="9" t="s">
        <v>67</v>
      </c>
      <c r="C10" s="9" t="s">
        <v>10</v>
      </c>
      <c r="D10" s="19" t="n">
        <v>0</v>
      </c>
      <c r="E10" s="8"/>
    </row>
    <row r="11" customFormat="false" ht="15" hidden="false" customHeight="false" outlineLevel="0" collapsed="false">
      <c r="A11" s="18" t="n">
        <v>46241</v>
      </c>
      <c r="B11" s="9" t="s">
        <v>67</v>
      </c>
      <c r="C11" s="9" t="s">
        <v>10</v>
      </c>
      <c r="D11" s="19" t="n">
        <v>0</v>
      </c>
      <c r="E11" s="8"/>
    </row>
    <row r="12" customFormat="false" ht="15" hidden="false" customHeight="false" outlineLevel="0" collapsed="false">
      <c r="A12" s="18" t="n">
        <v>46242</v>
      </c>
      <c r="B12" s="9" t="s">
        <v>65</v>
      </c>
      <c r="C12" s="9" t="s">
        <v>10</v>
      </c>
      <c r="D12" s="19" t="n">
        <v>0</v>
      </c>
      <c r="E12" s="8"/>
    </row>
    <row r="13" customFormat="false" ht="15" hidden="false" customHeight="false" outlineLevel="0" collapsed="false">
      <c r="A13" s="18" t="n">
        <v>46243</v>
      </c>
      <c r="B13" s="9" t="s">
        <v>65</v>
      </c>
      <c r="C13" s="9" t="s">
        <v>10</v>
      </c>
      <c r="D13" s="19" t="n">
        <v>0</v>
      </c>
      <c r="E13" s="8"/>
    </row>
    <row r="14" customFormat="false" ht="15" hidden="false" customHeight="false" outlineLevel="0" collapsed="false">
      <c r="A14" s="18" t="n">
        <v>46244</v>
      </c>
      <c r="B14" s="9" t="s">
        <v>67</v>
      </c>
      <c r="C14" s="9" t="s">
        <v>10</v>
      </c>
      <c r="D14" s="19" t="n">
        <v>0</v>
      </c>
      <c r="E14" s="8"/>
    </row>
    <row r="15" customFormat="false" ht="15" hidden="false" customHeight="false" outlineLevel="0" collapsed="false">
      <c r="A15" s="18" t="n">
        <v>46245</v>
      </c>
      <c r="B15" s="9" t="s">
        <v>67</v>
      </c>
      <c r="C15" s="9" t="s">
        <v>10</v>
      </c>
      <c r="D15" s="19" t="n">
        <v>0</v>
      </c>
      <c r="E15" s="8"/>
    </row>
    <row r="16" customFormat="false" ht="15" hidden="false" customHeight="false" outlineLevel="0" collapsed="false">
      <c r="A16" s="18" t="n">
        <v>46246</v>
      </c>
      <c r="B16" s="9" t="s">
        <v>67</v>
      </c>
      <c r="C16" s="9" t="s">
        <v>10</v>
      </c>
      <c r="D16" s="19" t="n">
        <v>0</v>
      </c>
      <c r="E16" s="8"/>
    </row>
    <row r="17" customFormat="false" ht="15" hidden="false" customHeight="false" outlineLevel="0" collapsed="false">
      <c r="A17" s="18" t="n">
        <v>46247</v>
      </c>
      <c r="B17" s="9" t="s">
        <v>67</v>
      </c>
      <c r="C17" s="9" t="s">
        <v>10</v>
      </c>
      <c r="D17" s="19" t="n">
        <v>0</v>
      </c>
      <c r="E17" s="8"/>
    </row>
    <row r="18" customFormat="false" ht="15" hidden="false" customHeight="false" outlineLevel="0" collapsed="false">
      <c r="A18" s="18" t="n">
        <v>46248</v>
      </c>
      <c r="B18" s="9" t="s">
        <v>67</v>
      </c>
      <c r="C18" s="9" t="s">
        <v>10</v>
      </c>
      <c r="D18" s="19" t="n">
        <v>0</v>
      </c>
      <c r="E18" s="8"/>
    </row>
    <row r="19" customFormat="false" ht="15" hidden="false" customHeight="false" outlineLevel="0" collapsed="false">
      <c r="A19" s="18" t="n">
        <v>46249</v>
      </c>
      <c r="B19" s="9" t="s">
        <v>65</v>
      </c>
      <c r="C19" s="9" t="s">
        <v>10</v>
      </c>
      <c r="D19" s="19" t="n">
        <v>0</v>
      </c>
      <c r="E19" s="8"/>
    </row>
    <row r="20" customFormat="false" ht="15" hidden="false" customHeight="false" outlineLevel="0" collapsed="false">
      <c r="A20" s="18" t="n">
        <v>46250</v>
      </c>
      <c r="B20" s="9" t="s">
        <v>65</v>
      </c>
      <c r="C20" s="9" t="s">
        <v>10</v>
      </c>
      <c r="D20" s="19" t="n">
        <v>0</v>
      </c>
      <c r="E20" s="8"/>
    </row>
    <row r="21" customFormat="false" ht="15" hidden="false" customHeight="false" outlineLevel="0" collapsed="false">
      <c r="A21" s="18" t="n">
        <v>46251</v>
      </c>
      <c r="B21" s="9" t="s">
        <v>67</v>
      </c>
      <c r="C21" s="9" t="s">
        <v>10</v>
      </c>
      <c r="D21" s="19" t="n">
        <v>0</v>
      </c>
      <c r="E21" s="8"/>
    </row>
    <row r="22" customFormat="false" ht="15" hidden="false" customHeight="false" outlineLevel="0" collapsed="false">
      <c r="A22" s="18" t="n">
        <v>46252</v>
      </c>
      <c r="B22" s="9" t="s">
        <v>67</v>
      </c>
      <c r="C22" s="9" t="s">
        <v>10</v>
      </c>
      <c r="D22" s="19" t="n">
        <v>0</v>
      </c>
      <c r="E22" s="8"/>
    </row>
    <row r="23" customFormat="false" ht="15" hidden="false" customHeight="false" outlineLevel="0" collapsed="false">
      <c r="A23" s="18" t="n">
        <v>46253</v>
      </c>
      <c r="B23" s="9" t="s">
        <v>67</v>
      </c>
      <c r="C23" s="9" t="s">
        <v>10</v>
      </c>
      <c r="D23" s="19" t="n">
        <v>0</v>
      </c>
      <c r="E23" s="8"/>
    </row>
    <row r="24" customFormat="false" ht="15" hidden="false" customHeight="false" outlineLevel="0" collapsed="false">
      <c r="A24" s="18" t="n">
        <v>46254</v>
      </c>
      <c r="B24" s="9" t="s">
        <v>67</v>
      </c>
      <c r="C24" s="9" t="s">
        <v>10</v>
      </c>
      <c r="D24" s="19" t="n">
        <v>0</v>
      </c>
      <c r="E24" s="8"/>
    </row>
    <row r="25" customFormat="false" ht="15" hidden="false" customHeight="false" outlineLevel="0" collapsed="false">
      <c r="A25" s="18" t="n">
        <v>46255</v>
      </c>
      <c r="B25" s="9" t="s">
        <v>67</v>
      </c>
      <c r="C25" s="9" t="s">
        <v>10</v>
      </c>
      <c r="D25" s="19" t="n">
        <v>0</v>
      </c>
      <c r="E25" s="8"/>
    </row>
    <row r="26" customFormat="false" ht="15" hidden="false" customHeight="false" outlineLevel="0" collapsed="false">
      <c r="A26" s="18" t="n">
        <v>46256</v>
      </c>
      <c r="B26" s="9" t="s">
        <v>65</v>
      </c>
      <c r="C26" s="9" t="s">
        <v>10</v>
      </c>
      <c r="D26" s="19" t="n">
        <v>0</v>
      </c>
      <c r="E26" s="8"/>
    </row>
    <row r="27" customFormat="false" ht="15" hidden="false" customHeight="false" outlineLevel="0" collapsed="false">
      <c r="A27" s="18" t="n">
        <v>46257</v>
      </c>
      <c r="B27" s="9" t="s">
        <v>65</v>
      </c>
      <c r="C27" s="9" t="s">
        <v>10</v>
      </c>
      <c r="D27" s="19" t="n">
        <v>0</v>
      </c>
      <c r="E27" s="8"/>
    </row>
    <row r="28" customFormat="false" ht="15" hidden="false" customHeight="false" outlineLevel="0" collapsed="false">
      <c r="A28" s="18" t="n">
        <v>46258</v>
      </c>
      <c r="B28" s="9" t="s">
        <v>67</v>
      </c>
      <c r="C28" s="9" t="s">
        <v>10</v>
      </c>
      <c r="D28" s="19" t="n">
        <v>0</v>
      </c>
      <c r="E28" s="8"/>
    </row>
    <row r="29" customFormat="false" ht="15" hidden="false" customHeight="false" outlineLevel="0" collapsed="false">
      <c r="A29" s="18" t="n">
        <v>46259</v>
      </c>
      <c r="B29" s="9" t="s">
        <v>67</v>
      </c>
      <c r="C29" s="9" t="s">
        <v>10</v>
      </c>
      <c r="D29" s="19" t="n">
        <v>0</v>
      </c>
      <c r="E29" s="8"/>
    </row>
    <row r="30" customFormat="false" ht="15" hidden="false" customHeight="false" outlineLevel="0" collapsed="false">
      <c r="A30" s="18" t="n">
        <v>46260</v>
      </c>
      <c r="B30" s="9" t="s">
        <v>67</v>
      </c>
      <c r="C30" s="9" t="s">
        <v>10</v>
      </c>
      <c r="D30" s="19" t="n">
        <v>0</v>
      </c>
      <c r="E30" s="8"/>
    </row>
    <row r="31" customFormat="false" ht="15" hidden="false" customHeight="false" outlineLevel="0" collapsed="false">
      <c r="A31" s="18" t="n">
        <v>46261</v>
      </c>
      <c r="B31" s="9" t="s">
        <v>67</v>
      </c>
      <c r="C31" s="9" t="s">
        <v>10</v>
      </c>
      <c r="D31" s="19" t="n">
        <v>0</v>
      </c>
      <c r="E31" s="8"/>
    </row>
    <row r="32" customFormat="false" ht="15" hidden="false" customHeight="false" outlineLevel="0" collapsed="false">
      <c r="A32" s="18" t="n">
        <v>46262</v>
      </c>
      <c r="B32" s="9" t="s">
        <v>67</v>
      </c>
      <c r="C32" s="9" t="s">
        <v>10</v>
      </c>
      <c r="D32" s="19" t="n">
        <v>0</v>
      </c>
      <c r="E32" s="8"/>
    </row>
    <row r="33" customFormat="false" ht="15" hidden="false" customHeight="false" outlineLevel="0" collapsed="false">
      <c r="A33" s="18" t="n">
        <v>46263</v>
      </c>
      <c r="B33" s="9" t="s">
        <v>65</v>
      </c>
      <c r="C33" s="9" t="s">
        <v>10</v>
      </c>
      <c r="D33" s="19" t="n">
        <v>0</v>
      </c>
      <c r="E33" s="8"/>
    </row>
    <row r="34" customFormat="false" ht="15" hidden="false" customHeight="false" outlineLevel="0" collapsed="false">
      <c r="A34" s="18" t="n">
        <v>46264</v>
      </c>
      <c r="B34" s="9" t="s">
        <v>65</v>
      </c>
      <c r="C34" s="9" t="s">
        <v>10</v>
      </c>
      <c r="D34" s="19" t="n">
        <v>0</v>
      </c>
      <c r="E34" s="8"/>
    </row>
    <row r="35" customFormat="false" ht="15" hidden="false" customHeight="false" outlineLevel="0" collapsed="false">
      <c r="A35" s="20" t="n">
        <v>46265</v>
      </c>
      <c r="B35" s="21" t="s">
        <v>67</v>
      </c>
      <c r="C35" s="21" t="s">
        <v>8</v>
      </c>
      <c r="D35" s="22" t="n">
        <v>100</v>
      </c>
      <c r="E35" s="23" t="s">
        <v>68</v>
      </c>
    </row>
    <row r="36" customFormat="false" ht="23.85" hidden="false" customHeight="false" outlineLevel="0" collapsed="false">
      <c r="A36" s="24" t="n">
        <v>46266</v>
      </c>
      <c r="B36" s="25" t="s">
        <v>65</v>
      </c>
      <c r="C36" s="25" t="s">
        <v>9</v>
      </c>
      <c r="D36" s="26" t="n">
        <v>100</v>
      </c>
      <c r="E36" s="27" t="s">
        <v>69</v>
      </c>
    </row>
    <row r="37" customFormat="false" ht="15" hidden="false" customHeight="false" outlineLevel="0" collapsed="false">
      <c r="A37" s="28" t="n">
        <v>46267</v>
      </c>
      <c r="B37" s="12"/>
      <c r="C37" s="12" t="s">
        <v>70</v>
      </c>
      <c r="D37" s="12"/>
      <c r="E37" s="11" t="s">
        <v>71</v>
      </c>
    </row>
    <row r="38" customFormat="false" ht="15" hidden="false" customHeight="false" outlineLevel="0" collapsed="false">
      <c r="A38" s="28" t="n">
        <v>46268</v>
      </c>
      <c r="B38" s="12"/>
      <c r="C38" s="12" t="s">
        <v>70</v>
      </c>
      <c r="D38" s="12"/>
      <c r="E38" s="11"/>
    </row>
    <row r="39" customFormat="false" ht="15" hidden="false" customHeight="false" outlineLevel="0" collapsed="false">
      <c r="A39" s="28" t="n">
        <v>46269</v>
      </c>
      <c r="B39" s="12"/>
      <c r="C39" s="12" t="s">
        <v>70</v>
      </c>
      <c r="D39" s="12"/>
      <c r="E39" s="11"/>
    </row>
    <row r="40" customFormat="false" ht="15" hidden="false" customHeight="false" outlineLevel="0" collapsed="false">
      <c r="A40" s="28" t="n">
        <v>46270</v>
      </c>
      <c r="B40" s="12"/>
      <c r="C40" s="12" t="s">
        <v>70</v>
      </c>
      <c r="D40" s="12"/>
      <c r="E40" s="11"/>
    </row>
    <row r="41" customFormat="false" ht="15" hidden="false" customHeight="false" outlineLevel="0" collapsed="false">
      <c r="A41" s="28" t="n">
        <v>46271</v>
      </c>
      <c r="B41" s="12"/>
      <c r="C41" s="12" t="s">
        <v>70</v>
      </c>
      <c r="D41" s="12"/>
      <c r="E41" s="11"/>
    </row>
    <row r="42" customFormat="false" ht="15" hidden="false" customHeight="false" outlineLevel="0" collapsed="false">
      <c r="A42" s="28" t="n">
        <v>46272</v>
      </c>
      <c r="B42" s="12"/>
      <c r="C42" s="12" t="s">
        <v>70</v>
      </c>
      <c r="D42" s="12"/>
      <c r="E42" s="11"/>
    </row>
    <row r="43" customFormat="false" ht="15" hidden="false" customHeight="false" outlineLevel="0" collapsed="false">
      <c r="A43" s="28" t="n">
        <v>46273</v>
      </c>
      <c r="B43" s="12"/>
      <c r="C43" s="12" t="s">
        <v>70</v>
      </c>
      <c r="D43" s="12"/>
      <c r="E43" s="11"/>
    </row>
    <row r="44" customFormat="false" ht="15" hidden="false" customHeight="false" outlineLevel="0" collapsed="false">
      <c r="A44" s="28" t="n">
        <v>46274</v>
      </c>
      <c r="B44" s="12"/>
      <c r="C44" s="12" t="s">
        <v>70</v>
      </c>
      <c r="D44" s="12"/>
      <c r="E44" s="11"/>
    </row>
    <row r="45" customFormat="false" ht="15" hidden="false" customHeight="false" outlineLevel="0" collapsed="false">
      <c r="A45" s="28" t="n">
        <v>46275</v>
      </c>
      <c r="B45" s="12"/>
      <c r="C45" s="12" t="s">
        <v>70</v>
      </c>
      <c r="D45" s="12"/>
      <c r="E45" s="11"/>
    </row>
    <row r="46" customFormat="false" ht="15" hidden="false" customHeight="false" outlineLevel="0" collapsed="false">
      <c r="A46" s="28" t="n">
        <v>46276</v>
      </c>
      <c r="B46" s="12"/>
      <c r="C46" s="12" t="s">
        <v>70</v>
      </c>
      <c r="D46" s="12"/>
      <c r="E46" s="11"/>
    </row>
    <row r="47" customFormat="false" ht="15" hidden="false" customHeight="false" outlineLevel="0" collapsed="false">
      <c r="A47" s="28" t="n">
        <v>46277</v>
      </c>
      <c r="B47" s="12"/>
      <c r="C47" s="12" t="s">
        <v>70</v>
      </c>
      <c r="D47" s="12"/>
      <c r="E47" s="11"/>
    </row>
    <row r="48" customFormat="false" ht="15" hidden="false" customHeight="false" outlineLevel="0" collapsed="false">
      <c r="A48" s="28" t="n">
        <v>46278</v>
      </c>
      <c r="B48" s="12"/>
      <c r="C48" s="12" t="s">
        <v>70</v>
      </c>
      <c r="D48" s="12"/>
      <c r="E48" s="11"/>
    </row>
    <row r="49" customFormat="false" ht="15" hidden="false" customHeight="false" outlineLevel="0" collapsed="false">
      <c r="A49" s="28" t="n">
        <v>46279</v>
      </c>
      <c r="B49" s="12"/>
      <c r="C49" s="12" t="s">
        <v>70</v>
      </c>
      <c r="D49" s="12"/>
      <c r="E49" s="11"/>
    </row>
    <row r="50" customFormat="false" ht="15" hidden="false" customHeight="false" outlineLevel="0" collapsed="false">
      <c r="A50" s="28" t="n">
        <v>46280</v>
      </c>
      <c r="B50" s="12"/>
      <c r="C50" s="12" t="s">
        <v>70</v>
      </c>
      <c r="D50" s="12"/>
      <c r="E50" s="11"/>
    </row>
    <row r="51" customFormat="false" ht="15" hidden="false" customHeight="false" outlineLevel="0" collapsed="false">
      <c r="A51" s="28" t="n">
        <v>46281</v>
      </c>
      <c r="B51" s="12"/>
      <c r="C51" s="12" t="s">
        <v>70</v>
      </c>
      <c r="D51" s="12"/>
      <c r="E51" s="11"/>
    </row>
    <row r="52" customFormat="false" ht="15" hidden="false" customHeight="false" outlineLevel="0" collapsed="false">
      <c r="A52" s="28" t="n">
        <v>46282</v>
      </c>
      <c r="B52" s="12"/>
      <c r="C52" s="12" t="s">
        <v>70</v>
      </c>
      <c r="D52" s="12"/>
      <c r="E52" s="11"/>
    </row>
    <row r="53" customFormat="false" ht="15" hidden="false" customHeight="false" outlineLevel="0" collapsed="false">
      <c r="A53" s="28" t="n">
        <v>46283</v>
      </c>
      <c r="B53" s="12"/>
      <c r="C53" s="12" t="s">
        <v>70</v>
      </c>
      <c r="D53" s="12"/>
      <c r="E53" s="11"/>
    </row>
    <row r="54" customFormat="false" ht="15" hidden="false" customHeight="false" outlineLevel="0" collapsed="false">
      <c r="A54" s="28" t="n">
        <v>46284</v>
      </c>
      <c r="B54" s="12"/>
      <c r="C54" s="12" t="s">
        <v>70</v>
      </c>
      <c r="D54" s="12"/>
      <c r="E54" s="11"/>
    </row>
    <row r="55" customFormat="false" ht="15" hidden="false" customHeight="false" outlineLevel="0" collapsed="false">
      <c r="A55" s="28" t="n">
        <v>46285</v>
      </c>
      <c r="B55" s="12"/>
      <c r="C55" s="12" t="s">
        <v>70</v>
      </c>
      <c r="D55" s="12"/>
      <c r="E55" s="11"/>
    </row>
    <row r="56" customFormat="false" ht="15" hidden="false" customHeight="false" outlineLevel="0" collapsed="false">
      <c r="A56" s="28" t="n">
        <v>46286</v>
      </c>
      <c r="B56" s="12"/>
      <c r="C56" s="12" t="s">
        <v>70</v>
      </c>
      <c r="D56" s="12"/>
      <c r="E56" s="11"/>
    </row>
    <row r="57" customFormat="false" ht="15" hidden="false" customHeight="false" outlineLevel="0" collapsed="false">
      <c r="A57" s="28" t="n">
        <v>46287</v>
      </c>
      <c r="B57" s="12"/>
      <c r="C57" s="12" t="s">
        <v>70</v>
      </c>
      <c r="D57" s="12"/>
      <c r="E57" s="11"/>
    </row>
    <row r="58" customFormat="false" ht="15" hidden="false" customHeight="false" outlineLevel="0" collapsed="false">
      <c r="A58" s="28" t="n">
        <v>46288</v>
      </c>
      <c r="B58" s="12"/>
      <c r="C58" s="12" t="s">
        <v>70</v>
      </c>
      <c r="D58" s="12"/>
      <c r="E58" s="11"/>
    </row>
    <row r="59" customFormat="false" ht="15" hidden="false" customHeight="false" outlineLevel="0" collapsed="false">
      <c r="A59" s="28" t="n">
        <v>46289</v>
      </c>
      <c r="B59" s="12"/>
      <c r="C59" s="12" t="s">
        <v>70</v>
      </c>
      <c r="D59" s="12"/>
      <c r="E59" s="11"/>
    </row>
    <row r="60" customFormat="false" ht="15" hidden="false" customHeight="false" outlineLevel="0" collapsed="false">
      <c r="A60" s="28" t="n">
        <v>46290</v>
      </c>
      <c r="B60" s="12"/>
      <c r="C60" s="12" t="s">
        <v>70</v>
      </c>
      <c r="D60" s="12"/>
      <c r="E60" s="11"/>
    </row>
    <row r="61" customFormat="false" ht="15" hidden="false" customHeight="false" outlineLevel="0" collapsed="false">
      <c r="A61" s="28" t="n">
        <v>46291</v>
      </c>
      <c r="B61" s="12"/>
      <c r="C61" s="12" t="s">
        <v>70</v>
      </c>
      <c r="D61" s="12"/>
      <c r="E61" s="11"/>
    </row>
    <row r="62" customFormat="false" ht="15" hidden="false" customHeight="false" outlineLevel="0" collapsed="false">
      <c r="A62" s="28" t="n">
        <v>46292</v>
      </c>
      <c r="B62" s="12"/>
      <c r="C62" s="12" t="s">
        <v>70</v>
      </c>
      <c r="D62" s="12"/>
      <c r="E62" s="11"/>
    </row>
    <row r="63" customFormat="false" ht="15" hidden="false" customHeight="false" outlineLevel="0" collapsed="false">
      <c r="A63" s="28" t="n">
        <v>46293</v>
      </c>
      <c r="B63" s="12"/>
      <c r="C63" s="12" t="s">
        <v>70</v>
      </c>
      <c r="D63" s="12"/>
      <c r="E63" s="11"/>
    </row>
    <row r="64" customFormat="false" ht="15" hidden="false" customHeight="false" outlineLevel="0" collapsed="false">
      <c r="A64" s="28" t="n">
        <v>46294</v>
      </c>
      <c r="B64" s="12"/>
      <c r="C64" s="12" t="s">
        <v>70</v>
      </c>
      <c r="D64" s="12"/>
      <c r="E64" s="11"/>
    </row>
    <row r="65" customFormat="false" ht="15" hidden="false" customHeight="false" outlineLevel="0" collapsed="false">
      <c r="A65" s="28" t="n">
        <v>46295</v>
      </c>
      <c r="B65" s="12"/>
      <c r="C65" s="12" t="s">
        <v>70</v>
      </c>
      <c r="D65" s="12"/>
      <c r="E65" s="11"/>
    </row>
    <row r="67" customFormat="false" ht="15" hidden="false" customHeight="false" outlineLevel="0" collapsed="false">
      <c r="A67" s="13" t="s">
        <v>72</v>
      </c>
      <c r="C67" s="14" t="n">
        <f aca="false">COUNTIF(C5:C65,"(no existe)")</f>
        <v>29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2026-10-02T01:42:01Z</dcterms:created>
  <dc:creator>openpyxl</dc:creator>
  <dc:description/>
  <dc:language>en-US</dc:language>
  <cp:lastModifiedBy/>
  <dcterms:modified xsi:type="dcterms:W3CDTF">2026-10-02T01:42:01Z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